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8765554-AEEA-48E9-9E64-228EEF138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BO" sheetId="2" r:id="rId1"/>
    <sheet name="LBO Complete" sheetId="1" r:id="rId2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2" l="1"/>
  <c r="J60" i="2"/>
  <c r="J59" i="2"/>
  <c r="J56" i="2"/>
  <c r="J55" i="2"/>
  <c r="J54" i="2"/>
  <c r="J53" i="2"/>
  <c r="E43" i="2"/>
  <c r="F43" i="2"/>
  <c r="G43" i="2"/>
  <c r="H43" i="2"/>
  <c r="I43" i="2"/>
  <c r="J43" i="2"/>
  <c r="D43" i="2"/>
  <c r="E41" i="2"/>
  <c r="D41" i="2"/>
  <c r="E50" i="2" s="1"/>
  <c r="E51" i="2" s="1"/>
  <c r="D42" i="2"/>
  <c r="E48" i="2"/>
  <c r="D51" i="2"/>
  <c r="D50" i="2"/>
  <c r="D48" i="2"/>
  <c r="E38" i="2"/>
  <c r="F38" i="2"/>
  <c r="G38" i="2"/>
  <c r="H38" i="2"/>
  <c r="I38" i="2"/>
  <c r="J38" i="2"/>
  <c r="D38" i="2"/>
  <c r="E35" i="2"/>
  <c r="F35" i="2"/>
  <c r="G35" i="2"/>
  <c r="H35" i="2"/>
  <c r="I35" i="2"/>
  <c r="J35" i="2"/>
  <c r="D35" i="2"/>
  <c r="E32" i="2"/>
  <c r="F32" i="2"/>
  <c r="G32" i="2" s="1"/>
  <c r="H32" i="2" s="1"/>
  <c r="I32" i="2" s="1"/>
  <c r="J32" i="2" s="1"/>
  <c r="D32" i="2"/>
  <c r="C26" i="2"/>
  <c r="C18" i="2"/>
  <c r="C12" i="2"/>
  <c r="C11" i="2"/>
  <c r="C8" i="2"/>
  <c r="D47" i="2"/>
  <c r="C42" i="2"/>
  <c r="C43" i="2" s="1"/>
  <c r="C41" i="2"/>
  <c r="C38" i="2"/>
  <c r="C39" i="2" s="1"/>
  <c r="C35" i="2"/>
  <c r="C36" i="2" s="1"/>
  <c r="C32" i="2"/>
  <c r="D31" i="2"/>
  <c r="E31" i="2" s="1"/>
  <c r="E47" i="2" s="1"/>
  <c r="C31" i="2"/>
  <c r="C42" i="1"/>
  <c r="C41" i="1"/>
  <c r="C38" i="1"/>
  <c r="C35" i="1"/>
  <c r="C32" i="1"/>
  <c r="C31" i="1"/>
  <c r="F41" i="2" l="1"/>
  <c r="F50" i="2"/>
  <c r="E42" i="2"/>
  <c r="F48" i="2"/>
  <c r="F51" i="2" s="1"/>
  <c r="F42" i="2" s="1"/>
  <c r="G48" i="2"/>
  <c r="F31" i="2"/>
  <c r="C8" i="1"/>
  <c r="C11" i="1"/>
  <c r="G50" i="2" l="1"/>
  <c r="G51" i="2" s="1"/>
  <c r="C12" i="1"/>
  <c r="F47" i="2"/>
  <c r="G31" i="2"/>
  <c r="C39" i="1"/>
  <c r="C36" i="1"/>
  <c r="D48" i="1"/>
  <c r="C43" i="1"/>
  <c r="G42" i="2" l="1"/>
  <c r="H48" i="2"/>
  <c r="G41" i="2"/>
  <c r="H31" i="2"/>
  <c r="G47" i="2"/>
  <c r="C18" i="1"/>
  <c r="C26" i="1" s="1"/>
  <c r="D32" i="1"/>
  <c r="H50" i="2" l="1"/>
  <c r="H41" i="2" s="1"/>
  <c r="H51" i="2"/>
  <c r="I31" i="2"/>
  <c r="H47" i="2"/>
  <c r="E32" i="1"/>
  <c r="E38" i="1" s="1"/>
  <c r="D38" i="1"/>
  <c r="D35" i="1"/>
  <c r="D31" i="1"/>
  <c r="I50" i="2" l="1"/>
  <c r="I41" i="2" s="1"/>
  <c r="H42" i="2"/>
  <c r="I48" i="2"/>
  <c r="I51" i="2" s="1"/>
  <c r="J31" i="2"/>
  <c r="J47" i="2" s="1"/>
  <c r="I47" i="2"/>
  <c r="D50" i="1"/>
  <c r="D41" i="1" s="1"/>
  <c r="F32" i="1"/>
  <c r="F38" i="1" s="1"/>
  <c r="E35" i="1"/>
  <c r="E31" i="1"/>
  <c r="D47" i="1"/>
  <c r="J50" i="2" l="1"/>
  <c r="J41" i="2" s="1"/>
  <c r="I42" i="2"/>
  <c r="J48" i="2"/>
  <c r="J51" i="2" s="1"/>
  <c r="J42" i="2" s="1"/>
  <c r="E50" i="1"/>
  <c r="E41" i="1" s="1"/>
  <c r="D51" i="1"/>
  <c r="F35" i="1"/>
  <c r="G32" i="1"/>
  <c r="G38" i="1" s="1"/>
  <c r="F31" i="1"/>
  <c r="E47" i="1"/>
  <c r="J54" i="1" l="1"/>
  <c r="G35" i="1"/>
  <c r="H32" i="1"/>
  <c r="H38" i="1" s="1"/>
  <c r="D42" i="1"/>
  <c r="D43" i="1" s="1"/>
  <c r="E48" i="1"/>
  <c r="E51" i="1" s="1"/>
  <c r="F50" i="1"/>
  <c r="F41" i="1" s="1"/>
  <c r="G50" i="1" s="1"/>
  <c r="G41" i="1" s="1"/>
  <c r="G31" i="1"/>
  <c r="F47" i="1"/>
  <c r="H50" i="1" l="1"/>
  <c r="H41" i="1" s="1"/>
  <c r="H35" i="1"/>
  <c r="I32" i="1"/>
  <c r="I38" i="1" s="1"/>
  <c r="F48" i="1"/>
  <c r="F51" i="1" s="1"/>
  <c r="E42" i="1"/>
  <c r="E43" i="1" s="1"/>
  <c r="H31" i="1"/>
  <c r="G47" i="1"/>
  <c r="J32" i="1" l="1"/>
  <c r="I35" i="1"/>
  <c r="I50" i="1"/>
  <c r="I41" i="1" s="1"/>
  <c r="G48" i="1"/>
  <c r="G51" i="1" s="1"/>
  <c r="F42" i="1"/>
  <c r="F43" i="1" s="1"/>
  <c r="J35" i="1"/>
  <c r="J38" i="1"/>
  <c r="I31" i="1"/>
  <c r="H47" i="1"/>
  <c r="J50" i="1" l="1"/>
  <c r="J41" i="1" s="1"/>
  <c r="H48" i="1"/>
  <c r="H51" i="1" s="1"/>
  <c r="G42" i="1"/>
  <c r="G43" i="1" s="1"/>
  <c r="J55" i="1" s="1"/>
  <c r="J56" i="1" s="1"/>
  <c r="J59" i="1" s="1"/>
  <c r="J60" i="1" s="1"/>
  <c r="J31" i="1"/>
  <c r="J47" i="1" s="1"/>
  <c r="I47" i="1"/>
  <c r="I48" i="1" l="1"/>
  <c r="I51" i="1" s="1"/>
  <c r="H42" i="1"/>
  <c r="H43" i="1" s="1"/>
  <c r="J48" i="1" l="1"/>
  <c r="J51" i="1" s="1"/>
  <c r="J42" i="1" s="1"/>
  <c r="J43" i="1" s="1"/>
  <c r="I42" i="1"/>
  <c r="I43" i="1" s="1"/>
</calcChain>
</file>

<file path=xl/sharedStrings.xml><?xml version="1.0" encoding="utf-8"?>
<sst xmlns="http://schemas.openxmlformats.org/spreadsheetml/2006/main" count="126" uniqueCount="58">
  <si>
    <t>LBO Assumptions</t>
  </si>
  <si>
    <t>Current Share Price</t>
  </si>
  <si>
    <t>Fully Diluted Shares Outstanding</t>
  </si>
  <si>
    <t>Net Debt</t>
  </si>
  <si>
    <t>Enterprise Value</t>
  </si>
  <si>
    <t>LTM EBITDA</t>
  </si>
  <si>
    <t>EBITDA</t>
  </si>
  <si>
    <t>EBITDA multiple in exit year</t>
  </si>
  <si>
    <t>Questions:</t>
  </si>
  <si>
    <r>
      <t>1.</t>
    </r>
    <r>
      <rPr>
        <sz val="10"/>
        <color indexed="8"/>
        <rFont val="Arial"/>
        <family val="2"/>
      </rPr>
      <t xml:space="preserve">What is the implied Enterprise Value in the exit year? </t>
    </r>
  </si>
  <si>
    <r>
      <t>2.</t>
    </r>
    <r>
      <rPr>
        <sz val="10"/>
        <color indexed="8"/>
        <rFont val="Arial"/>
        <family val="2"/>
      </rPr>
      <t>What is the implied Equity Value at the exit year?</t>
    </r>
  </si>
  <si>
    <t>Leveraged Buyout Analysis for Company XYZ</t>
  </si>
  <si>
    <t>Current Date</t>
  </si>
  <si>
    <t>Exit Date</t>
  </si>
  <si>
    <t>Revenue</t>
  </si>
  <si>
    <t>Revenue Growth Rate (%)</t>
  </si>
  <si>
    <t>EBITDA Margin (%)</t>
  </si>
  <si>
    <t>Projected Annual Forecast</t>
  </si>
  <si>
    <t>Select Operating and Financial Data</t>
  </si>
  <si>
    <t>Cash</t>
  </si>
  <si>
    <t>Debt</t>
  </si>
  <si>
    <t>Comments</t>
  </si>
  <si>
    <t>Debt Schedule</t>
  </si>
  <si>
    <t>LBO Debt, Beginning of Period</t>
  </si>
  <si>
    <t>From Debt Schedule below</t>
  </si>
  <si>
    <t>LBO Debt Capacity (Net debt/EBITDA)</t>
  </si>
  <si>
    <t>Enterprise Value = Mkt cap + net debt</t>
  </si>
  <si>
    <t>Generally assumed to be the same as the entry multiple</t>
  </si>
  <si>
    <t>Financial Sponsor Required Equity Return</t>
  </si>
  <si>
    <t>Higher required return due to increased debt and riskiness</t>
  </si>
  <si>
    <t>Based on current debt market conditions</t>
  </si>
  <si>
    <t>FCF Margin (%)</t>
  </si>
  <si>
    <t>LBO Debt, End of Period</t>
  </si>
  <si>
    <t xml:space="preserve"> - Required paydown</t>
  </si>
  <si>
    <t>Free cash flow after required debt paydown</t>
  </si>
  <si>
    <t>Minimum cash balance</t>
  </si>
  <si>
    <t>Company must maintain a minimum cash balance for a "rainy day"</t>
  </si>
  <si>
    <t xml:space="preserve"> - Optional paydown (after min cash balance)</t>
  </si>
  <si>
    <t>Excess cash on hand or generated throughout the year can be used to pay down debt</t>
  </si>
  <si>
    <t>Assumed to remain constant with revenues for simplicity</t>
  </si>
  <si>
    <t>Net Debt = Debt - Cash</t>
  </si>
  <si>
    <t>EV / EBITDA multiple</t>
  </si>
  <si>
    <t>Current Net Debt</t>
  </si>
  <si>
    <r>
      <t>3.</t>
    </r>
    <r>
      <rPr>
        <sz val="10"/>
        <color indexed="8"/>
        <rFont val="Arial"/>
        <family val="2"/>
      </rPr>
      <t>What is the maximum amount financial sponsors can invest in this company?</t>
    </r>
  </si>
  <si>
    <r>
      <t>1.</t>
    </r>
    <r>
      <rPr>
        <sz val="10"/>
        <color indexed="8"/>
        <rFont val="Arial"/>
        <family val="2"/>
      </rPr>
      <t>How much do sponsors have to acquire this company and pay off it's debt?</t>
    </r>
  </si>
  <si>
    <r>
      <t>3.</t>
    </r>
    <r>
      <rPr>
        <sz val="10"/>
        <color indexed="8"/>
        <rFont val="Arial"/>
        <family val="2"/>
      </rPr>
      <t>Given XYZ’s market trading level, is an LBO likely?</t>
    </r>
  </si>
  <si>
    <t>Beginning cash balance plus change in cash over the period</t>
  </si>
  <si>
    <t>Current date and exit date assumed to be Dec 31 for simplicity</t>
  </si>
  <si>
    <t>LTM Debt * LBO Debt Capacity</t>
  </si>
  <si>
    <t>Yes; 33% premium</t>
  </si>
  <si>
    <t>Current Debt</t>
  </si>
  <si>
    <t>Current Cash</t>
  </si>
  <si>
    <t>Market cap</t>
  </si>
  <si>
    <t>LTM Revenue</t>
  </si>
  <si>
    <t>Free cash flows after debt paydown</t>
  </si>
  <si>
    <r>
      <t>2.</t>
    </r>
    <r>
      <rPr>
        <sz val="10"/>
        <color indexed="8"/>
        <rFont val="Arial"/>
        <family val="2"/>
      </rPr>
      <t>What is the highest purchase price the sponsors would be willing to pay for XYZ shares today?</t>
    </r>
  </si>
  <si>
    <t>Assumed to be $1,000 per year</t>
  </si>
  <si>
    <t>J55/(1+C27)^4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</si>
</sst>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3" formatCode="_ * #,##0.00_ ;_ * \-#,##0.00_ ;_ * &quot;-&quot;??_ ;_ @_ 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_);_(* \(#,##0.0\);_(* &quot;-&quot;?_);_(@_)"/>
    <numFmt numFmtId="167" formatCode="0.0\x"/>
    <numFmt numFmtId="168" formatCode="[&gt;1]&quot;10Q: &quot;0&quot; qtrs&quot;;&quot;10Q: &quot;0&quot; qtr&quot;"/>
    <numFmt numFmtId="169" formatCode="_(#,##0\ \b\p_);_(\(#,##0\ \b\p\);&quot;-&quot;?;_(@_)"/>
    <numFmt numFmtId="170" formatCode="#,##0.0"/>
    <numFmt numFmtId="171" formatCode="#,##0.0_);\(#,##0.0\);&quot;-&quot;?"/>
    <numFmt numFmtId="172" formatCode="#,##0.00_);\(#,##0.00\);&quot;-&quot;?"/>
    <numFmt numFmtId="173" formatCode="&quot;$&quot;#,##0.00_);[Red]\(&quot;$&quot;#,##0.00\);&quot;--  &quot;;_(@_)"/>
    <numFmt numFmtId="174" formatCode="[$-409]h:mm:ss\ AM/PM"/>
    <numFmt numFmtId="175" formatCode="&quot;$&quot;#,##0.0_);\(&quot;$&quot;#,##0.0\);&quot;$&quot;&quot;-&quot;?"/>
    <numFmt numFmtId="176" formatCode="&quot;$&quot;#,##0.00_);\(&quot;$&quot;#,##0.00\);&quot;$&quot;&quot;-&quot;?"/>
    <numFmt numFmtId="177" formatCode="mm/dd/yy;@"/>
    <numFmt numFmtId="178" formatCode="mmm\-dd\-yy"/>
    <numFmt numFmtId="179" formatCode="mmm\-dd\-yyyy"/>
    <numFmt numFmtId="180" formatCode="mmm\-d\-yyyy"/>
    <numFmt numFmtId="181" formatCode="mmm\-yyyy"/>
    <numFmt numFmtId="182" formatCode="#,##0.0_);[Red]\(#,##0.0\);&quot;--  &quot;"/>
    <numFmt numFmtId="183" formatCode="#,##0.0_);[Red]\(#,##0.0\)"/>
    <numFmt numFmtId="184" formatCode="#,##0.000_);[Red]\(#,##0.000\)"/>
    <numFmt numFmtId="185" formatCode="#,##0.00&quot;x&quot;_);[Red]\(#,##0.00&quot;x&quot;\)"/>
    <numFmt numFmtId="186" formatCode="&quot;$&quot;#,##0.00"/>
    <numFmt numFmtId="187" formatCode="#,##0.0%_);\(#,##0.0%\)"/>
    <numFmt numFmtId="188" formatCode="#,##0.00%_);\(#,##0.00%\)"/>
    <numFmt numFmtId="189" formatCode="#,##0.0%_);[Red]\(#,##0.0%\)"/>
    <numFmt numFmtId="190" formatCode="#,##0.00%_);[Red]\(#,##0.00%\)"/>
    <numFmt numFmtId="191" formatCode="0.00\x"/>
    <numFmt numFmtId="192" formatCode="0.0"/>
    <numFmt numFmtId="193" formatCode="#,##0.00\x_);\(#,##0.00\x\);&quot;-&quot;?"/>
    <numFmt numFmtId="194" formatCode="0.0&quot; years&quot;"/>
    <numFmt numFmtId="195" formatCode="#,##0.0_);\(#,##0.0\);@_)"/>
    <numFmt numFmtId="196" formatCode="#,##0.0_);\(#,##0.0\);\-_);@_)"/>
    <numFmt numFmtId="197" formatCode="0.0%_);\(0.0%\);@_)"/>
    <numFmt numFmtId="198" formatCode="0000\A"/>
    <numFmt numFmtId="199" formatCode="0000\E"/>
    <numFmt numFmtId="200" formatCode="#,##0.0_);\(#,##0.0\)"/>
    <numFmt numFmtId="201" formatCode="#,##0.000_);\(#,##0.000\)"/>
    <numFmt numFmtId="202" formatCode="&quot;$&quot;#,##0.00_);\(&quot;$&quot;#,##0.00\);@_)"/>
    <numFmt numFmtId="203" formatCode="0%_);\(0%\);@_)"/>
  </numFmts>
  <fonts count="26" x14ac:knownFonts="1">
    <font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9"/>
      <name val="Trebuchet MS"/>
      <family val="2"/>
    </font>
    <font>
      <sz val="8"/>
      <name val="Arial"/>
      <family val="2"/>
    </font>
    <font>
      <sz val="10"/>
      <name val="Trebuchet MS"/>
      <family val="2"/>
    </font>
    <font>
      <sz val="10"/>
      <color indexed="12"/>
      <name val="Times New Roman"/>
      <family val="1"/>
    </font>
    <font>
      <sz val="9"/>
      <color indexed="12"/>
      <name val="Trebuchet MS"/>
      <family val="2"/>
    </font>
    <font>
      <sz val="8"/>
      <color indexed="12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i/>
      <sz val="8"/>
      <name val="Arial"/>
      <family val="2"/>
    </font>
    <font>
      <sz val="8"/>
      <color indexed="1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name val="Arial"/>
      <family val="2"/>
    </font>
    <font>
      <sz val="2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  <family val="2"/>
    </font>
    <font>
      <sz val="7"/>
      <name val="Arial"/>
      <family val="2"/>
    </font>
    <font>
      <sz val="7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9">
    <xf numFmtId="0" fontId="0" fillId="0" borderId="0"/>
    <xf numFmtId="0" fontId="1" fillId="0" borderId="0"/>
    <xf numFmtId="168" fontId="5" fillId="0" borderId="0" applyFill="0" applyBorder="0" applyAlignment="0" applyProtection="0">
      <alignment horizontal="right"/>
    </xf>
    <xf numFmtId="169" fontId="6" fillId="0" borderId="0" applyFont="0" applyFill="0" applyBorder="0" applyAlignment="0" applyProtection="0">
      <alignment horizontal="right"/>
    </xf>
    <xf numFmtId="170" fontId="6" fillId="3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>
      <alignment horizontal="left" indent="1"/>
    </xf>
    <xf numFmtId="173" fontId="7" fillId="0" borderId="3" applyFont="0" applyFill="0" applyBorder="0" applyAlignment="0" applyProtection="0"/>
    <xf numFmtId="174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6" fontId="6" fillId="3" borderId="0" applyFont="0" applyFill="0" applyBorder="0" applyAlignment="0" applyProtection="0"/>
    <xf numFmtId="165" fontId="1" fillId="0" borderId="0" applyFont="0" applyFill="0" applyBorder="0" applyAlignment="0" applyProtection="0"/>
    <xf numFmtId="15" fontId="8" fillId="0" borderId="0" applyFont="0" applyFill="0" applyBorder="0" applyAlignment="0" applyProtection="0"/>
    <xf numFmtId="177" fontId="9" fillId="0" borderId="0" applyFont="0" applyFill="0" applyBorder="0" applyAlignment="0" applyProtection="0">
      <alignment horizontal="left"/>
    </xf>
    <xf numFmtId="17" fontId="10" fillId="0" borderId="0" applyFont="0" applyFill="0" applyBorder="0" applyAlignment="0" applyProtection="0">
      <alignment horizontal="right"/>
    </xf>
    <xf numFmtId="178" fontId="5" fillId="0" borderId="0" applyFont="0" applyFill="0" applyBorder="0" applyAlignment="0" applyProtection="0"/>
    <xf numFmtId="179" fontId="7" fillId="0" borderId="0" applyFont="0" applyFill="0" applyBorder="0" applyAlignment="0" applyProtection="0"/>
    <xf numFmtId="180" fontId="11" fillId="4" borderId="4" applyFont="0" applyFill="0" applyBorder="0" applyAlignment="0" applyProtection="0"/>
    <xf numFmtId="181" fontId="5" fillId="0" borderId="2" applyFont="0" applyFill="0" applyBorder="0" applyAlignment="0" applyProtection="0"/>
    <xf numFmtId="14" fontId="5" fillId="0" borderId="2" applyFont="0" applyFill="0" applyBorder="0" applyAlignment="0" applyProtection="0"/>
    <xf numFmtId="182" fontId="7" fillId="0" borderId="0" applyFont="0" applyFill="0" applyBorder="0" applyAlignment="0" applyProtection="0">
      <alignment horizontal="right"/>
    </xf>
    <xf numFmtId="37" fontId="11" fillId="5" borderId="0" applyFont="0" applyFill="0" applyBorder="0" applyAlignment="0" applyProtection="0"/>
    <xf numFmtId="183" fontId="1" fillId="0" borderId="0" applyFont="0" applyFill="0" applyBorder="0" applyAlignment="0"/>
    <xf numFmtId="184" fontId="7" fillId="0" borderId="0" applyFont="0" applyFill="0" applyBorder="0" applyAlignment="0"/>
    <xf numFmtId="174" fontId="7" fillId="0" borderId="0" applyFont="0" applyFill="0" applyBorder="0" applyAlignment="0"/>
    <xf numFmtId="0" fontId="12" fillId="0" borderId="0"/>
    <xf numFmtId="0" fontId="1" fillId="0" borderId="0"/>
    <xf numFmtId="185" fontId="7" fillId="0" borderId="0" applyFont="0" applyFill="0" applyBorder="0" applyAlignment="0" applyProtection="0"/>
    <xf numFmtId="186" fontId="12" fillId="0" borderId="0" applyFont="0" applyFill="0" applyBorder="0" applyAlignment="0" applyProtection="0"/>
    <xf numFmtId="187" fontId="13" fillId="0" borderId="0" applyFont="0" applyFill="0" applyBorder="0" applyAlignment="0" applyProtection="0">
      <alignment horizontal="right"/>
    </xf>
    <xf numFmtId="188" fontId="12" fillId="0" borderId="0" applyFont="0" applyFill="0" applyBorder="0" applyAlignment="0" applyProtection="0">
      <alignment horizontal="right"/>
    </xf>
    <xf numFmtId="189" fontId="14" fillId="4" borderId="5" applyFill="0" applyBorder="0" applyAlignment="0" applyProtection="0">
      <alignment horizontal="right"/>
      <protection locked="0"/>
    </xf>
    <xf numFmtId="190" fontId="14" fillId="6" borderId="0" applyFill="0" applyBorder="0" applyAlignment="0" applyProtection="0">
      <protection hidden="1"/>
    </xf>
    <xf numFmtId="9" fontId="1" fillId="0" borderId="0" applyFont="0" applyFill="0" applyBorder="0" applyAlignment="0" applyProtection="0"/>
    <xf numFmtId="183" fontId="15" fillId="0" borderId="0" applyNumberFormat="0" applyFill="0" applyBorder="0" applyAlignment="0" applyProtection="0">
      <alignment horizontal="left"/>
    </xf>
    <xf numFmtId="191" fontId="7" fillId="0" borderId="0" applyFont="0" applyFill="0" applyBorder="0" applyAlignment="0" applyProtection="0">
      <alignment horizontal="right"/>
    </xf>
    <xf numFmtId="192" fontId="6" fillId="0" borderId="0" applyFont="0" applyFill="0" applyBorder="0" applyAlignment="0" applyProtection="0"/>
    <xf numFmtId="193" fontId="6" fillId="0" borderId="0" applyFont="0" applyFill="0" applyBorder="0" applyAlignment="0" applyProtection="0">
      <alignment horizontal="right"/>
    </xf>
    <xf numFmtId="194" fontId="7" fillId="0" borderId="0" applyFont="0" applyFill="0" applyBorder="0" applyAlignment="0"/>
  </cellStyleXfs>
  <cellXfs count="55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2" xfId="1" applyFont="1" applyFill="1" applyBorder="1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left" readingOrder="1"/>
    </xf>
    <xf numFmtId="0" fontId="16" fillId="7" borderId="0" xfId="0" applyFont="1" applyFill="1"/>
    <xf numFmtId="164" fontId="16" fillId="7" borderId="0" xfId="0" applyNumberFormat="1" applyFont="1" applyFill="1"/>
    <xf numFmtId="166" fontId="16" fillId="7" borderId="0" xfId="0" applyNumberFormat="1" applyFont="1" applyFill="1"/>
    <xf numFmtId="167" fontId="16" fillId="7" borderId="0" xfId="0" applyNumberFormat="1" applyFont="1" applyFill="1"/>
    <xf numFmtId="0" fontId="16" fillId="0" borderId="0" xfId="0" applyFont="1"/>
    <xf numFmtId="195" fontId="16" fillId="0" borderId="0" xfId="0" applyNumberFormat="1" applyFont="1"/>
    <xf numFmtId="197" fontId="16" fillId="0" borderId="0" xfId="0" applyNumberFormat="1" applyFont="1"/>
    <xf numFmtId="199" fontId="0" fillId="0" borderId="0" xfId="0" applyNumberFormat="1"/>
    <xf numFmtId="195" fontId="16" fillId="7" borderId="0" xfId="0" applyNumberFormat="1" applyFont="1" applyFill="1"/>
    <xf numFmtId="0" fontId="19" fillId="0" borderId="0" xfId="0" applyFont="1"/>
    <xf numFmtId="0" fontId="20" fillId="0" borderId="1" xfId="0" applyFont="1" applyBorder="1"/>
    <xf numFmtId="197" fontId="18" fillId="0" borderId="0" xfId="0" applyNumberFormat="1" applyFont="1"/>
    <xf numFmtId="197" fontId="16" fillId="7" borderId="0" xfId="0" applyNumberFormat="1" applyFont="1" applyFill="1"/>
    <xf numFmtId="0" fontId="2" fillId="2" borderId="0" xfId="1" applyFont="1" applyFill="1"/>
    <xf numFmtId="0" fontId="17" fillId="8" borderId="6" xfId="0" applyFont="1" applyFill="1" applyBorder="1" applyAlignment="1">
      <alignment horizontal="centerContinuous"/>
    </xf>
    <xf numFmtId="0" fontId="2" fillId="0" borderId="7" xfId="1" applyFont="1" applyBorder="1"/>
    <xf numFmtId="0" fontId="17" fillId="8" borderId="0" xfId="0" applyFont="1" applyFill="1" applyAlignment="1">
      <alignment horizontal="centerContinuous"/>
    </xf>
    <xf numFmtId="199" fontId="22" fillId="0" borderId="8" xfId="0" applyNumberFormat="1" applyFont="1" applyBorder="1"/>
    <xf numFmtId="196" fontId="0" fillId="0" borderId="0" xfId="0" applyNumberFormat="1"/>
    <xf numFmtId="195" fontId="0" fillId="0" borderId="0" xfId="0" applyNumberFormat="1"/>
    <xf numFmtId="0" fontId="23" fillId="0" borderId="0" xfId="0" applyFont="1"/>
    <xf numFmtId="198" fontId="21" fillId="0" borderId="6" xfId="0" applyNumberFormat="1" applyFont="1" applyBorder="1"/>
    <xf numFmtId="199" fontId="22" fillId="0" borderId="6" xfId="0" applyNumberFormat="1" applyFont="1" applyBorder="1"/>
    <xf numFmtId="0" fontId="17" fillId="8" borderId="9" xfId="0" applyFont="1" applyFill="1" applyBorder="1" applyAlignment="1">
      <alignment horizontal="centerContinuous"/>
    </xf>
    <xf numFmtId="0" fontId="17" fillId="8" borderId="10" xfId="0" applyFont="1" applyFill="1" applyBorder="1" applyAlignment="1">
      <alignment horizontal="centerContinuous"/>
    </xf>
    <xf numFmtId="199" fontId="21" fillId="0" borderId="6" xfId="0" applyNumberFormat="1" applyFont="1" applyBorder="1"/>
    <xf numFmtId="0" fontId="2" fillId="2" borderId="6" xfId="1" applyFont="1" applyFill="1" applyBorder="1"/>
    <xf numFmtId="166" fontId="18" fillId="0" borderId="0" xfId="0" applyNumberFormat="1" applyFont="1"/>
    <xf numFmtId="195" fontId="18" fillId="0" borderId="0" xfId="0" applyNumberFormat="1" applyFont="1"/>
    <xf numFmtId="0" fontId="0" fillId="0" borderId="0" xfId="0" quotePrefix="1"/>
    <xf numFmtId="0" fontId="24" fillId="0" borderId="0" xfId="0" applyFont="1"/>
    <xf numFmtId="0" fontId="25" fillId="0" borderId="0" xfId="0" applyFont="1"/>
    <xf numFmtId="201" fontId="0" fillId="0" borderId="0" xfId="0" applyNumberFormat="1"/>
    <xf numFmtId="0" fontId="0" fillId="0" borderId="0" xfId="0" applyAlignment="1">
      <alignment horizontal="left" readingOrder="1"/>
    </xf>
    <xf numFmtId="0" fontId="0" fillId="0" borderId="6" xfId="0" quotePrefix="1" applyBorder="1"/>
    <xf numFmtId="0" fontId="16" fillId="0" borderId="6" xfId="0" applyFont="1" applyBorder="1"/>
    <xf numFmtId="200" fontId="0" fillId="0" borderId="6" xfId="0" applyNumberFormat="1" applyBorder="1"/>
    <xf numFmtId="200" fontId="18" fillId="0" borderId="0" xfId="0" applyNumberFormat="1" applyFont="1"/>
    <xf numFmtId="0" fontId="0" fillId="0" borderId="6" xfId="0" applyBorder="1"/>
    <xf numFmtId="166" fontId="0" fillId="0" borderId="6" xfId="0" applyNumberFormat="1" applyBorder="1"/>
    <xf numFmtId="195" fontId="18" fillId="0" borderId="6" xfId="0" applyNumberFormat="1" applyFont="1" applyBorder="1"/>
    <xf numFmtId="0" fontId="17" fillId="0" borderId="11" xfId="0" applyFont="1" applyBorder="1" applyAlignment="1">
      <alignment horizontal="centerContinuous"/>
    </xf>
    <xf numFmtId="195" fontId="0" fillId="9" borderId="12" xfId="0" applyNumberFormat="1" applyFill="1" applyBorder="1"/>
    <xf numFmtId="195" fontId="0" fillId="9" borderId="5" xfId="0" applyNumberFormat="1" applyFill="1" applyBorder="1"/>
    <xf numFmtId="202" fontId="0" fillId="9" borderId="5" xfId="0" applyNumberFormat="1" applyFill="1" applyBorder="1"/>
    <xf numFmtId="203" fontId="0" fillId="9" borderId="5" xfId="0" applyNumberFormat="1" applyFill="1" applyBorder="1" applyAlignment="1">
      <alignment wrapText="1"/>
    </xf>
    <xf numFmtId="43" fontId="0" fillId="0" borderId="0" xfId="0" applyNumberFormat="1"/>
  </cellXfs>
  <cellStyles count="39">
    <cellStyle name="10Q" xfId="2" xr:uid="{00000000-0005-0000-0000-000000000000}"/>
    <cellStyle name="bp" xfId="3" xr:uid="{00000000-0005-0000-0000-000001000000}"/>
    <cellStyle name="Comma (0)" xfId="4" xr:uid="{00000000-0005-0000-0000-000002000000}"/>
    <cellStyle name="Comma (1)" xfId="5" xr:uid="{00000000-0005-0000-0000-000003000000}"/>
    <cellStyle name="Comma (2)" xfId="6" xr:uid="{00000000-0005-0000-0000-000004000000}"/>
    <cellStyle name="Currency--" xfId="7" xr:uid="{00000000-0005-0000-0000-000005000000}"/>
    <cellStyle name="Currency (0)" xfId="8" xr:uid="{00000000-0005-0000-0000-000006000000}"/>
    <cellStyle name="Currency (1)" xfId="9" xr:uid="{00000000-0005-0000-0000-000007000000}"/>
    <cellStyle name="Currency (2)" xfId="10" xr:uid="{00000000-0005-0000-0000-000008000000}"/>
    <cellStyle name="Currency 2" xfId="11" xr:uid="{00000000-0005-0000-0000-000009000000}"/>
    <cellStyle name="Date (dd-mmm-yy)" xfId="12" xr:uid="{00000000-0005-0000-0000-00000A000000}"/>
    <cellStyle name="Date (mm-dd-yy)" xfId="13" xr:uid="{00000000-0005-0000-0000-00000B000000}"/>
    <cellStyle name="Date (mmm-yy)" xfId="14" xr:uid="{00000000-0005-0000-0000-00000C000000}"/>
    <cellStyle name="Date [mm-dd-yy]" xfId="15" xr:uid="{00000000-0005-0000-0000-00000D000000}"/>
    <cellStyle name="Date [mm-dd-yyyy]" xfId="16" xr:uid="{00000000-0005-0000-0000-00000E000000}"/>
    <cellStyle name="Date [mm-d-yyyy]" xfId="17" xr:uid="{00000000-0005-0000-0000-00000F000000}"/>
    <cellStyle name="Date [mmm-yyyy]" xfId="18" xr:uid="{00000000-0005-0000-0000-000010000000}"/>
    <cellStyle name="m/d/yy" xfId="19" xr:uid="{00000000-0005-0000-0000-000011000000}"/>
    <cellStyle name="Normal" xfId="0" builtinId="0"/>
    <cellStyle name="Normal--" xfId="20" xr:uid="{00000000-0005-0000-0000-000013000000}"/>
    <cellStyle name="Normal [0]" xfId="21" xr:uid="{00000000-0005-0000-0000-000014000000}"/>
    <cellStyle name="Normal [1]" xfId="22" xr:uid="{00000000-0005-0000-0000-000015000000}"/>
    <cellStyle name="Normal [3]" xfId="23" xr:uid="{00000000-0005-0000-0000-000016000000}"/>
    <cellStyle name="Normal [3] 2" xfId="24" xr:uid="{00000000-0005-0000-0000-000017000000}"/>
    <cellStyle name="Normal 2" xfId="1" xr:uid="{00000000-0005-0000-0000-000018000000}"/>
    <cellStyle name="Normal 3" xfId="25" xr:uid="{00000000-0005-0000-0000-000019000000}"/>
    <cellStyle name="Normal 4" xfId="26" xr:uid="{00000000-0005-0000-0000-00001A000000}"/>
    <cellStyle name="Normalx" xfId="27" xr:uid="{00000000-0005-0000-0000-00001B000000}"/>
    <cellStyle name="Percent (0)" xfId="28" xr:uid="{00000000-0005-0000-0000-00001C000000}"/>
    <cellStyle name="Percent (1)" xfId="29" xr:uid="{00000000-0005-0000-0000-00001D000000}"/>
    <cellStyle name="Percent (2)" xfId="30" xr:uid="{00000000-0005-0000-0000-00001E000000}"/>
    <cellStyle name="Percent [1]" xfId="31" xr:uid="{00000000-0005-0000-0000-00001F000000}"/>
    <cellStyle name="Percent [2]" xfId="32" xr:uid="{00000000-0005-0000-0000-000020000000}"/>
    <cellStyle name="Percent 2" xfId="33" xr:uid="{00000000-0005-0000-0000-000021000000}"/>
    <cellStyle name="Red font" xfId="34" xr:uid="{00000000-0005-0000-0000-000022000000}"/>
    <cellStyle name="Times" xfId="35" xr:uid="{00000000-0005-0000-0000-000023000000}"/>
    <cellStyle name="x (1)" xfId="36" xr:uid="{00000000-0005-0000-0000-000024000000}"/>
    <cellStyle name="x (2)" xfId="37" xr:uid="{00000000-0005-0000-0000-000025000000}"/>
    <cellStyle name="Years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36" zoomScale="101" zoomScaleNormal="120" workbookViewId="0">
      <pane ySplit="2376" topLeftCell="A52" activePane="bottomLeft"/>
      <selection activeCell="D44" sqref="D44"/>
      <selection pane="bottomLeft" activeCell="J62" sqref="J62"/>
    </sheetView>
  </sheetViews>
  <sheetFormatPr defaultRowHeight="13.2" x14ac:dyDescent="0.25"/>
  <cols>
    <col min="1" max="1" width="2.109375" customWidth="1"/>
    <col min="2" max="2" width="38.88671875" customWidth="1"/>
    <col min="3" max="3" width="10.88671875" bestFit="1" customWidth="1"/>
    <col min="4" max="4" width="9.44140625" customWidth="1"/>
    <col min="5" max="5" width="9.6640625" bestFit="1" customWidth="1"/>
    <col min="6" max="6" width="9.88671875" customWidth="1"/>
    <col min="7" max="7" width="9.33203125" bestFit="1" customWidth="1"/>
    <col min="10" max="10" width="12" bestFit="1" customWidth="1"/>
    <col min="11" max="11" width="2.109375" customWidth="1"/>
    <col min="12" max="12" width="9.6640625" bestFit="1" customWidth="1"/>
  </cols>
  <sheetData>
    <row r="1" spans="2:13" ht="25.2" thickBot="1" x14ac:dyDescent="0.45">
      <c r="B1" s="18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2:13" x14ac:dyDescent="0.25">
      <c r="B3" s="3" t="s">
        <v>18</v>
      </c>
      <c r="C3" s="34"/>
      <c r="D3" s="34"/>
      <c r="E3" s="34"/>
      <c r="F3" s="34"/>
      <c r="G3" s="34"/>
      <c r="H3" s="34"/>
      <c r="I3" s="34"/>
      <c r="J3" s="34"/>
      <c r="L3" s="28" t="s">
        <v>21</v>
      </c>
    </row>
    <row r="4" spans="2:13" x14ac:dyDescent="0.25">
      <c r="B4" t="s">
        <v>12</v>
      </c>
      <c r="C4" s="8">
        <v>2012</v>
      </c>
      <c r="L4" t="s">
        <v>47</v>
      </c>
    </row>
    <row r="5" spans="2:13" x14ac:dyDescent="0.25">
      <c r="C5" s="12"/>
    </row>
    <row r="6" spans="2:13" x14ac:dyDescent="0.25">
      <c r="B6" s="2" t="s">
        <v>1</v>
      </c>
      <c r="C6" s="9">
        <v>30</v>
      </c>
    </row>
    <row r="7" spans="2:13" x14ac:dyDescent="0.25">
      <c r="B7" s="2" t="s">
        <v>2</v>
      </c>
      <c r="C7" s="10">
        <v>500</v>
      </c>
    </row>
    <row r="8" spans="2:13" x14ac:dyDescent="0.25">
      <c r="B8" t="s">
        <v>52</v>
      </c>
      <c r="C8" s="35">
        <f>C6*C7</f>
        <v>15000</v>
      </c>
    </row>
    <row r="9" spans="2:13" x14ac:dyDescent="0.25">
      <c r="B9" t="s">
        <v>50</v>
      </c>
      <c r="C9" s="10">
        <v>600</v>
      </c>
    </row>
    <row r="10" spans="2:13" x14ac:dyDescent="0.25">
      <c r="B10" t="s">
        <v>51</v>
      </c>
      <c r="C10" s="10">
        <v>100</v>
      </c>
    </row>
    <row r="11" spans="2:13" x14ac:dyDescent="0.25">
      <c r="B11" t="s">
        <v>42</v>
      </c>
      <c r="C11" s="35">
        <f>C9-C10</f>
        <v>500</v>
      </c>
      <c r="L11" t="s">
        <v>40</v>
      </c>
    </row>
    <row r="12" spans="2:13" x14ac:dyDescent="0.25">
      <c r="B12" s="2" t="s">
        <v>4</v>
      </c>
      <c r="C12" s="5">
        <f>C8+C11</f>
        <v>15500</v>
      </c>
      <c r="L12" s="37" t="s">
        <v>26</v>
      </c>
    </row>
    <row r="13" spans="2:13" x14ac:dyDescent="0.25">
      <c r="B13" s="2"/>
      <c r="C13" s="5"/>
      <c r="L13" s="37"/>
    </row>
    <row r="14" spans="2:13" x14ac:dyDescent="0.25">
      <c r="B14" t="s">
        <v>53</v>
      </c>
      <c r="C14" s="10">
        <v>6000</v>
      </c>
      <c r="L14" s="37"/>
    </row>
    <row r="15" spans="2:13" x14ac:dyDescent="0.25">
      <c r="B15" s="2" t="s">
        <v>5</v>
      </c>
      <c r="C15" s="10">
        <v>2400</v>
      </c>
      <c r="L15" s="37"/>
    </row>
    <row r="16" spans="2:13" x14ac:dyDescent="0.25">
      <c r="B16" t="s">
        <v>54</v>
      </c>
      <c r="C16" s="10">
        <v>480</v>
      </c>
      <c r="L16" s="37"/>
    </row>
    <row r="17" spans="1:12" x14ac:dyDescent="0.25">
      <c r="L17" s="37"/>
    </row>
    <row r="18" spans="1:12" x14ac:dyDescent="0.25">
      <c r="B18" t="s">
        <v>41</v>
      </c>
      <c r="C18" s="6">
        <f>C12/C15</f>
        <v>6.458333333333333</v>
      </c>
      <c r="L18" s="37"/>
    </row>
    <row r="19" spans="1:12" x14ac:dyDescent="0.25">
      <c r="B19" s="2"/>
      <c r="C19" s="5"/>
      <c r="L19" s="37"/>
    </row>
    <row r="20" spans="1:12" x14ac:dyDescent="0.25">
      <c r="B20" s="3" t="s">
        <v>0</v>
      </c>
      <c r="C20" s="34"/>
      <c r="D20" s="34"/>
      <c r="E20" s="34"/>
      <c r="F20" s="34"/>
      <c r="G20" s="34"/>
      <c r="H20" s="34"/>
      <c r="I20" s="34"/>
      <c r="J20" s="34"/>
    </row>
    <row r="21" spans="1:12" x14ac:dyDescent="0.25">
      <c r="B21" t="s">
        <v>13</v>
      </c>
      <c r="C21" s="8">
        <v>2016</v>
      </c>
      <c r="L21" t="s">
        <v>47</v>
      </c>
    </row>
    <row r="23" spans="1:12" x14ac:dyDescent="0.25">
      <c r="B23" t="s">
        <v>25</v>
      </c>
      <c r="C23" s="11">
        <v>6</v>
      </c>
      <c r="L23" t="s">
        <v>30</v>
      </c>
    </row>
    <row r="24" spans="1:12" x14ac:dyDescent="0.25">
      <c r="B24" t="s">
        <v>35</v>
      </c>
      <c r="C24" s="16">
        <v>50</v>
      </c>
      <c r="L24" t="s">
        <v>36</v>
      </c>
    </row>
    <row r="26" spans="1:12" x14ac:dyDescent="0.25">
      <c r="B26" s="2" t="s">
        <v>7</v>
      </c>
      <c r="C26" s="6">
        <f>C18</f>
        <v>6.458333333333333</v>
      </c>
      <c r="L26" t="s">
        <v>27</v>
      </c>
    </row>
    <row r="27" spans="1:12" x14ac:dyDescent="0.25">
      <c r="B27" t="s">
        <v>28</v>
      </c>
      <c r="C27" s="20">
        <v>0.25</v>
      </c>
      <c r="L27" t="s">
        <v>29</v>
      </c>
    </row>
    <row r="28" spans="1:12" x14ac:dyDescent="0.25">
      <c r="B28" s="2"/>
      <c r="C28" s="12"/>
    </row>
    <row r="29" spans="1:12" x14ac:dyDescent="0.25">
      <c r="B29" s="3" t="s">
        <v>18</v>
      </c>
      <c r="C29" s="21"/>
      <c r="D29" s="3"/>
      <c r="E29" s="3"/>
      <c r="F29" s="3"/>
      <c r="G29" s="21"/>
      <c r="H29" s="21"/>
      <c r="I29" s="21"/>
      <c r="J29" s="21"/>
    </row>
    <row r="30" spans="1:12" ht="14.4" x14ac:dyDescent="0.3">
      <c r="B30" s="23"/>
      <c r="C30" s="49"/>
      <c r="D30" s="24" t="s">
        <v>17</v>
      </c>
      <c r="E30" s="24"/>
      <c r="F30" s="24"/>
      <c r="G30" s="31"/>
      <c r="H30" s="32"/>
      <c r="I30" s="32"/>
      <c r="J30" s="32"/>
    </row>
    <row r="31" spans="1:12" x14ac:dyDescent="0.25">
      <c r="A31" s="39"/>
      <c r="B31" s="2"/>
      <c r="C31" s="29">
        <f>C4</f>
        <v>2012</v>
      </c>
      <c r="D31" s="25">
        <f>C31+1</f>
        <v>2013</v>
      </c>
      <c r="E31" s="25">
        <f t="shared" ref="E31:J31" si="0">D31+1</f>
        <v>2014</v>
      </c>
      <c r="F31" s="25">
        <f t="shared" si="0"/>
        <v>2015</v>
      </c>
      <c r="G31" s="30">
        <f t="shared" si="0"/>
        <v>2016</v>
      </c>
      <c r="H31" s="30">
        <f t="shared" si="0"/>
        <v>2017</v>
      </c>
      <c r="I31" s="30">
        <f t="shared" si="0"/>
        <v>2018</v>
      </c>
      <c r="J31" s="30">
        <f t="shared" si="0"/>
        <v>2019</v>
      </c>
      <c r="L31" s="28"/>
    </row>
    <row r="32" spans="1:12" x14ac:dyDescent="0.25">
      <c r="A32" s="38"/>
      <c r="B32" t="s">
        <v>14</v>
      </c>
      <c r="C32" s="36">
        <f>C14</f>
        <v>6000</v>
      </c>
      <c r="D32" s="26">
        <f>C32*(1+D33)</f>
        <v>6600.0000000000009</v>
      </c>
      <c r="E32" s="26">
        <f t="shared" ref="E32:J32" si="1">D32*(1+E33)</f>
        <v>7260.0000000000018</v>
      </c>
      <c r="F32" s="26">
        <f t="shared" si="1"/>
        <v>7986.0000000000027</v>
      </c>
      <c r="G32" s="26">
        <f t="shared" si="1"/>
        <v>8784.600000000004</v>
      </c>
      <c r="H32" s="26">
        <f t="shared" si="1"/>
        <v>9663.0600000000049</v>
      </c>
      <c r="I32" s="26">
        <f t="shared" si="1"/>
        <v>10629.366000000005</v>
      </c>
      <c r="J32" s="26">
        <f t="shared" si="1"/>
        <v>11692.302600000006</v>
      </c>
    </row>
    <row r="33" spans="1:12" x14ac:dyDescent="0.25">
      <c r="A33" s="38"/>
      <c r="B33" s="17" t="s">
        <v>15</v>
      </c>
      <c r="C33" s="13"/>
      <c r="D33" s="20">
        <v>0.1</v>
      </c>
      <c r="E33" s="20">
        <v>0.1</v>
      </c>
      <c r="F33" s="20">
        <v>0.1</v>
      </c>
      <c r="G33" s="20">
        <v>0.1</v>
      </c>
      <c r="H33" s="20">
        <v>0.1</v>
      </c>
      <c r="I33" s="20">
        <v>0.1</v>
      </c>
      <c r="J33" s="20">
        <v>0.1</v>
      </c>
    </row>
    <row r="34" spans="1:12" x14ac:dyDescent="0.25">
      <c r="A34" s="38"/>
      <c r="C34" s="13"/>
      <c r="D34" s="15"/>
      <c r="E34" s="15"/>
      <c r="F34" s="15"/>
      <c r="G34" s="15"/>
      <c r="H34" s="15"/>
      <c r="I34" s="15"/>
      <c r="J34" s="15"/>
    </row>
    <row r="35" spans="1:12" x14ac:dyDescent="0.25">
      <c r="A35" s="38"/>
      <c r="B35" t="s">
        <v>6</v>
      </c>
      <c r="C35" s="36">
        <f>C15</f>
        <v>2400</v>
      </c>
      <c r="D35" s="27">
        <f>D32*D36</f>
        <v>2640.0000000000005</v>
      </c>
      <c r="E35" s="27">
        <f t="shared" ref="E35:J35" si="2">E32*E36</f>
        <v>2904.0000000000009</v>
      </c>
      <c r="F35" s="27">
        <f t="shared" si="2"/>
        <v>3194.4000000000015</v>
      </c>
      <c r="G35" s="27">
        <f t="shared" si="2"/>
        <v>3513.840000000002</v>
      </c>
      <c r="H35" s="27">
        <f t="shared" si="2"/>
        <v>3865.224000000002</v>
      </c>
      <c r="I35" s="27">
        <f t="shared" si="2"/>
        <v>4251.7464000000027</v>
      </c>
      <c r="J35" s="27">
        <f t="shared" si="2"/>
        <v>4676.9210400000029</v>
      </c>
      <c r="L35" t="s">
        <v>39</v>
      </c>
    </row>
    <row r="36" spans="1:12" x14ac:dyDescent="0.25">
      <c r="A36" s="38"/>
      <c r="B36" s="17" t="s">
        <v>16</v>
      </c>
      <c r="C36" s="19">
        <f>C35/C$32</f>
        <v>0.4</v>
      </c>
      <c r="D36" s="20">
        <v>0.4</v>
      </c>
      <c r="E36" s="20">
        <v>0.4</v>
      </c>
      <c r="F36" s="20">
        <v>0.4</v>
      </c>
      <c r="G36" s="20">
        <v>0.4</v>
      </c>
      <c r="H36" s="20">
        <v>0.4</v>
      </c>
      <c r="I36" s="20">
        <v>0.4</v>
      </c>
      <c r="J36" s="20">
        <v>0.4</v>
      </c>
    </row>
    <row r="37" spans="1:12" x14ac:dyDescent="0.25">
      <c r="A37" s="38"/>
      <c r="B37" s="2"/>
      <c r="C37" s="19"/>
      <c r="D37" s="14"/>
      <c r="E37" s="14"/>
      <c r="F37" s="14"/>
      <c r="G37" s="14"/>
      <c r="H37" s="14"/>
      <c r="I37" s="14"/>
      <c r="J37" s="14"/>
    </row>
    <row r="38" spans="1:12" x14ac:dyDescent="0.25">
      <c r="A38" s="38"/>
      <c r="B38" t="s">
        <v>34</v>
      </c>
      <c r="C38" s="36">
        <f>C16</f>
        <v>480</v>
      </c>
      <c r="D38" s="36">
        <f>D32*D39</f>
        <v>528.00000000000011</v>
      </c>
      <c r="E38" s="36">
        <f t="shared" ref="E38:J38" si="3">E32*E39</f>
        <v>580.80000000000018</v>
      </c>
      <c r="F38" s="36">
        <f t="shared" si="3"/>
        <v>638.88000000000022</v>
      </c>
      <c r="G38" s="36">
        <f t="shared" si="3"/>
        <v>702.76800000000037</v>
      </c>
      <c r="H38" s="36">
        <f t="shared" si="3"/>
        <v>773.04480000000046</v>
      </c>
      <c r="I38" s="36">
        <f t="shared" si="3"/>
        <v>850.34928000000048</v>
      </c>
      <c r="J38" s="36">
        <f t="shared" si="3"/>
        <v>935.38420800000051</v>
      </c>
      <c r="L38" t="s">
        <v>39</v>
      </c>
    </row>
    <row r="39" spans="1:12" x14ac:dyDescent="0.25">
      <c r="A39" s="38"/>
      <c r="B39" s="17" t="s">
        <v>31</v>
      </c>
      <c r="C39" s="19">
        <f>C38/C$32</f>
        <v>0.08</v>
      </c>
      <c r="D39" s="20">
        <v>0.08</v>
      </c>
      <c r="E39" s="20">
        <v>0.08</v>
      </c>
      <c r="F39" s="20">
        <v>0.08</v>
      </c>
      <c r="G39" s="20">
        <v>0.08</v>
      </c>
      <c r="H39" s="20">
        <v>0.08</v>
      </c>
      <c r="I39" s="20">
        <v>0.08</v>
      </c>
      <c r="J39" s="20">
        <v>0.08</v>
      </c>
    </row>
    <row r="40" spans="1:12" x14ac:dyDescent="0.25">
      <c r="A40" s="38"/>
      <c r="B40" s="2"/>
      <c r="C40" s="19"/>
      <c r="D40" s="14"/>
      <c r="E40" s="14"/>
      <c r="F40" s="14"/>
      <c r="G40" s="14"/>
      <c r="H40" s="14"/>
      <c r="I40" s="14"/>
      <c r="J40" s="14"/>
    </row>
    <row r="41" spans="1:12" x14ac:dyDescent="0.25">
      <c r="A41" s="38"/>
      <c r="B41" t="s">
        <v>19</v>
      </c>
      <c r="C41" s="36">
        <f>C10</f>
        <v>100</v>
      </c>
      <c r="D41" s="27">
        <f>C41+D38+D50</f>
        <v>50</v>
      </c>
      <c r="E41" s="27">
        <f t="shared" ref="E41:J41" si="4">D41+E38+E50</f>
        <v>50</v>
      </c>
      <c r="F41" s="27">
        <f t="shared" si="4"/>
        <v>50</v>
      </c>
      <c r="G41" s="27">
        <f t="shared" si="4"/>
        <v>50</v>
      </c>
      <c r="H41" s="27">
        <f t="shared" si="4"/>
        <v>50</v>
      </c>
      <c r="I41" s="27">
        <f t="shared" si="4"/>
        <v>50</v>
      </c>
      <c r="J41" s="27">
        <f t="shared" si="4"/>
        <v>50</v>
      </c>
      <c r="L41" t="s">
        <v>46</v>
      </c>
    </row>
    <row r="42" spans="1:12" x14ac:dyDescent="0.25">
      <c r="A42" s="38"/>
      <c r="B42" s="46" t="s">
        <v>20</v>
      </c>
      <c r="C42" s="48">
        <f>C9</f>
        <v>600</v>
      </c>
      <c r="D42" s="47">
        <f>D51</f>
        <v>12822</v>
      </c>
      <c r="E42" s="47">
        <f t="shared" ref="E42:J42" si="5">E51</f>
        <v>11241.2</v>
      </c>
      <c r="F42" s="47">
        <f t="shared" si="5"/>
        <v>9602.32</v>
      </c>
      <c r="G42" s="47">
        <f t="shared" si="5"/>
        <v>7899.5519999999997</v>
      </c>
      <c r="H42" s="47">
        <f t="shared" si="5"/>
        <v>6126.5071999999991</v>
      </c>
      <c r="I42" s="47">
        <f t="shared" si="5"/>
        <v>4276.1579199999987</v>
      </c>
      <c r="J42" s="47">
        <f t="shared" si="5"/>
        <v>2340.7737119999983</v>
      </c>
      <c r="L42" t="s">
        <v>24</v>
      </c>
    </row>
    <row r="43" spans="1:12" x14ac:dyDescent="0.25">
      <c r="A43" s="38"/>
      <c r="B43" t="s">
        <v>3</v>
      </c>
      <c r="C43" s="45">
        <f>C42-C41</f>
        <v>500</v>
      </c>
      <c r="D43" s="45">
        <f>D42-D41</f>
        <v>12772</v>
      </c>
      <c r="E43" s="45">
        <f t="shared" ref="E43:J43" si="6">E42-E41</f>
        <v>11191.2</v>
      </c>
      <c r="F43" s="45">
        <f t="shared" si="6"/>
        <v>9552.32</v>
      </c>
      <c r="G43" s="45">
        <f t="shared" si="6"/>
        <v>7849.5519999999997</v>
      </c>
      <c r="H43" s="45">
        <f t="shared" si="6"/>
        <v>6076.5071999999991</v>
      </c>
      <c r="I43" s="45">
        <f t="shared" si="6"/>
        <v>4226.1579199999987</v>
      </c>
      <c r="J43" s="45">
        <f t="shared" si="6"/>
        <v>2290.7737119999983</v>
      </c>
      <c r="L43" t="s">
        <v>40</v>
      </c>
    </row>
    <row r="44" spans="1:12" x14ac:dyDescent="0.25">
      <c r="B44" s="2"/>
      <c r="C44" s="12"/>
    </row>
    <row r="45" spans="1:12" x14ac:dyDescent="0.25">
      <c r="B45" s="3" t="s">
        <v>22</v>
      </c>
      <c r="C45" s="21"/>
      <c r="D45" s="3"/>
      <c r="E45" s="3"/>
      <c r="F45" s="3"/>
      <c r="G45" s="21"/>
      <c r="H45" s="21"/>
      <c r="I45" s="21"/>
      <c r="J45" s="21"/>
    </row>
    <row r="46" spans="1:12" ht="14.4" x14ac:dyDescent="0.3">
      <c r="B46" s="23"/>
      <c r="C46" s="49"/>
      <c r="D46" s="22" t="s">
        <v>17</v>
      </c>
      <c r="E46" s="22"/>
      <c r="F46" s="22"/>
      <c r="G46" s="31"/>
      <c r="H46" s="32"/>
      <c r="I46" s="32"/>
      <c r="J46" s="32"/>
    </row>
    <row r="47" spans="1:12" x14ac:dyDescent="0.25">
      <c r="B47" s="2"/>
      <c r="C47" s="29"/>
      <c r="D47" s="33">
        <f t="shared" ref="D47:J47" si="7">D31</f>
        <v>2013</v>
      </c>
      <c r="E47" s="33">
        <f t="shared" si="7"/>
        <v>2014</v>
      </c>
      <c r="F47" s="33">
        <f t="shared" si="7"/>
        <v>2015</v>
      </c>
      <c r="G47" s="33">
        <f t="shared" si="7"/>
        <v>2016</v>
      </c>
      <c r="H47" s="33">
        <f t="shared" si="7"/>
        <v>2017</v>
      </c>
      <c r="I47" s="33">
        <f t="shared" si="7"/>
        <v>2018</v>
      </c>
      <c r="J47" s="33">
        <f t="shared" si="7"/>
        <v>2019</v>
      </c>
    </row>
    <row r="48" spans="1:12" x14ac:dyDescent="0.25">
      <c r="B48" t="s">
        <v>23</v>
      </c>
      <c r="C48" s="12"/>
      <c r="D48" s="35">
        <f>C23*C15</f>
        <v>14400</v>
      </c>
      <c r="E48" s="5">
        <f>D51</f>
        <v>12822</v>
      </c>
      <c r="F48" s="5">
        <f t="shared" ref="F48:J48" si="8">E51</f>
        <v>11241.2</v>
      </c>
      <c r="G48" s="5">
        <f t="shared" si="8"/>
        <v>9602.32</v>
      </c>
      <c r="H48" s="5">
        <f t="shared" si="8"/>
        <v>7899.5519999999997</v>
      </c>
      <c r="I48" s="5">
        <f t="shared" si="8"/>
        <v>6126.5071999999991</v>
      </c>
      <c r="J48" s="5">
        <f t="shared" si="8"/>
        <v>4276.1579199999987</v>
      </c>
      <c r="L48" t="s">
        <v>48</v>
      </c>
    </row>
    <row r="49" spans="2:13" x14ac:dyDescent="0.25">
      <c r="B49" s="37" t="s">
        <v>33</v>
      </c>
      <c r="C49" s="12"/>
      <c r="D49" s="16">
        <v>-1000</v>
      </c>
      <c r="E49" s="16">
        <v>-1000</v>
      </c>
      <c r="F49" s="16">
        <v>-1000</v>
      </c>
      <c r="G49" s="16">
        <v>-1000</v>
      </c>
      <c r="H49" s="16">
        <v>-1000</v>
      </c>
      <c r="I49" s="16">
        <v>-1000</v>
      </c>
      <c r="J49" s="16">
        <v>-1000</v>
      </c>
      <c r="L49" t="s">
        <v>56</v>
      </c>
    </row>
    <row r="50" spans="2:13" x14ac:dyDescent="0.25">
      <c r="B50" s="42" t="s">
        <v>37</v>
      </c>
      <c r="C50" s="43"/>
      <c r="D50" s="44">
        <f>(D38+C41-$C$24)*-1</f>
        <v>-578.00000000000011</v>
      </c>
      <c r="E50" s="44">
        <f t="shared" ref="E50:J50" si="9">(E38+D41-$C$24)*-1</f>
        <v>-580.80000000000018</v>
      </c>
      <c r="F50" s="44">
        <f t="shared" si="9"/>
        <v>-638.88000000000022</v>
      </c>
      <c r="G50" s="44">
        <f t="shared" si="9"/>
        <v>-702.76800000000037</v>
      </c>
      <c r="H50" s="44">
        <f t="shared" si="9"/>
        <v>-773.04480000000046</v>
      </c>
      <c r="I50" s="44">
        <f t="shared" si="9"/>
        <v>-850.34928000000048</v>
      </c>
      <c r="J50" s="44">
        <f t="shared" si="9"/>
        <v>-935.38420800000051</v>
      </c>
      <c r="L50" t="s">
        <v>38</v>
      </c>
    </row>
    <row r="51" spans="2:13" x14ac:dyDescent="0.25">
      <c r="B51" t="s">
        <v>32</v>
      </c>
      <c r="C51" s="12"/>
      <c r="D51" s="5">
        <f>SUM(D48:D50)</f>
        <v>12822</v>
      </c>
      <c r="E51" s="5">
        <f t="shared" ref="E51:J51" si="10">SUM(E48:E50)</f>
        <v>11241.2</v>
      </c>
      <c r="F51" s="5">
        <f t="shared" si="10"/>
        <v>9602.32</v>
      </c>
      <c r="G51" s="5">
        <f t="shared" si="10"/>
        <v>7899.5519999999997</v>
      </c>
      <c r="H51" s="5">
        <f t="shared" si="10"/>
        <v>6126.5071999999991</v>
      </c>
      <c r="I51" s="5">
        <f t="shared" si="10"/>
        <v>4276.1579199999987</v>
      </c>
      <c r="J51" s="5">
        <f t="shared" si="10"/>
        <v>2340.7737119999983</v>
      </c>
    </row>
    <row r="52" spans="2:13" x14ac:dyDescent="0.25">
      <c r="B52" s="2"/>
      <c r="C52" s="12"/>
    </row>
    <row r="53" spans="2:13" x14ac:dyDescent="0.25">
      <c r="B53" s="4" t="s">
        <v>8</v>
      </c>
      <c r="C53" s="12"/>
      <c r="J53">
        <f>L5</f>
        <v>0</v>
      </c>
    </row>
    <row r="54" spans="2:13" x14ac:dyDescent="0.25">
      <c r="B54" s="7" t="s">
        <v>9</v>
      </c>
      <c r="C54" s="12"/>
      <c r="J54" s="50">
        <f>C26*G35</f>
        <v>22693.55000000001</v>
      </c>
      <c r="L54" s="40"/>
    </row>
    <row r="55" spans="2:13" x14ac:dyDescent="0.25">
      <c r="B55" s="7" t="s">
        <v>10</v>
      </c>
      <c r="C55" s="12"/>
      <c r="J55" s="50">
        <f>J54-G43</f>
        <v>14843.998000000011</v>
      </c>
      <c r="L55" s="40"/>
      <c r="M55" t="s">
        <v>57</v>
      </c>
    </row>
    <row r="56" spans="2:13" x14ac:dyDescent="0.25">
      <c r="B56" s="41" t="s">
        <v>43</v>
      </c>
      <c r="C56" s="12"/>
      <c r="J56" s="50">
        <f>J55/(1+C27)^4</f>
        <v>6080.1015808000047</v>
      </c>
    </row>
    <row r="57" spans="2:13" x14ac:dyDescent="0.25">
      <c r="B57" s="2"/>
      <c r="C57" s="12"/>
      <c r="J57" s="54"/>
    </row>
    <row r="58" spans="2:13" x14ac:dyDescent="0.25">
      <c r="B58" s="4" t="s">
        <v>8</v>
      </c>
      <c r="C58" s="12"/>
    </row>
    <row r="59" spans="2:13" x14ac:dyDescent="0.25">
      <c r="B59" s="41" t="s">
        <v>44</v>
      </c>
      <c r="J59" s="51">
        <f>J56+D48</f>
        <v>20480.101580800005</v>
      </c>
    </row>
    <row r="60" spans="2:13" x14ac:dyDescent="0.25">
      <c r="B60" s="41" t="s">
        <v>55</v>
      </c>
      <c r="J60" s="52">
        <f>(J59-C11)/C7</f>
        <v>39.960203161600006</v>
      </c>
    </row>
    <row r="61" spans="2:13" ht="25.5" customHeight="1" x14ac:dyDescent="0.25">
      <c r="B61" s="41" t="s">
        <v>45</v>
      </c>
      <c r="J61" s="53">
        <f>J60/C6-1</f>
        <v>0.33200677205333351</v>
      </c>
    </row>
  </sheetData>
  <sheetProtection selectLockedCells="1" selectUnlockedCells="1"/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zoomScaleNormal="100" workbookViewId="0"/>
  </sheetViews>
  <sheetFormatPr defaultRowHeight="13.2" x14ac:dyDescent="0.25"/>
  <cols>
    <col min="1" max="1" width="2.109375" customWidth="1"/>
    <col min="2" max="2" width="38.88671875" customWidth="1"/>
    <col min="3" max="3" width="10.88671875" bestFit="1" customWidth="1"/>
    <col min="4" max="4" width="9.44140625" customWidth="1"/>
    <col min="5" max="5" width="9.33203125" bestFit="1" customWidth="1"/>
    <col min="6" max="6" width="9.88671875" customWidth="1"/>
    <col min="7" max="7" width="9.33203125" bestFit="1" customWidth="1"/>
    <col min="10" max="10" width="9.33203125" customWidth="1"/>
    <col min="11" max="11" width="2.109375" customWidth="1"/>
    <col min="12" max="12" width="9.6640625" bestFit="1" customWidth="1"/>
  </cols>
  <sheetData>
    <row r="1" spans="2:13" ht="25.2" thickBot="1" x14ac:dyDescent="0.45">
      <c r="B1" s="18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2:13" x14ac:dyDescent="0.25">
      <c r="B3" s="3" t="s">
        <v>18</v>
      </c>
      <c r="C3" s="34"/>
      <c r="D3" s="34"/>
      <c r="E3" s="34"/>
      <c r="F3" s="34"/>
      <c r="G3" s="34"/>
      <c r="H3" s="34"/>
      <c r="I3" s="34"/>
      <c r="J3" s="34"/>
      <c r="L3" s="28" t="s">
        <v>21</v>
      </c>
    </row>
    <row r="4" spans="2:13" x14ac:dyDescent="0.25">
      <c r="B4" t="s">
        <v>12</v>
      </c>
      <c r="C4" s="8">
        <v>2012</v>
      </c>
      <c r="L4" t="s">
        <v>47</v>
      </c>
    </row>
    <row r="5" spans="2:13" x14ac:dyDescent="0.25">
      <c r="C5" s="12"/>
    </row>
    <row r="6" spans="2:13" x14ac:dyDescent="0.25">
      <c r="B6" s="2" t="s">
        <v>1</v>
      </c>
      <c r="C6" s="9">
        <v>30</v>
      </c>
    </row>
    <row r="7" spans="2:13" x14ac:dyDescent="0.25">
      <c r="B7" s="2" t="s">
        <v>2</v>
      </c>
      <c r="C7" s="10">
        <v>500</v>
      </c>
    </row>
    <row r="8" spans="2:13" x14ac:dyDescent="0.25">
      <c r="B8" t="s">
        <v>52</v>
      </c>
      <c r="C8" s="35">
        <f>C6*C7</f>
        <v>15000</v>
      </c>
    </row>
    <row r="9" spans="2:13" x14ac:dyDescent="0.25">
      <c r="B9" t="s">
        <v>50</v>
      </c>
      <c r="C9" s="10">
        <v>600</v>
      </c>
    </row>
    <row r="10" spans="2:13" x14ac:dyDescent="0.25">
      <c r="B10" t="s">
        <v>51</v>
      </c>
      <c r="C10" s="10">
        <v>100</v>
      </c>
    </row>
    <row r="11" spans="2:13" x14ac:dyDescent="0.25">
      <c r="B11" t="s">
        <v>42</v>
      </c>
      <c r="C11" s="35">
        <f>C9-C10</f>
        <v>500</v>
      </c>
      <c r="L11" t="s">
        <v>40</v>
      </c>
    </row>
    <row r="12" spans="2:13" x14ac:dyDescent="0.25">
      <c r="B12" s="2" t="s">
        <v>4</v>
      </c>
      <c r="C12" s="5">
        <f>C8+C11</f>
        <v>15500</v>
      </c>
      <c r="L12" s="37" t="s">
        <v>26</v>
      </c>
    </row>
    <row r="13" spans="2:13" x14ac:dyDescent="0.25">
      <c r="B13" s="2"/>
      <c r="C13" s="5"/>
      <c r="L13" s="37"/>
    </row>
    <row r="14" spans="2:13" x14ac:dyDescent="0.25">
      <c r="B14" t="s">
        <v>53</v>
      </c>
      <c r="C14" s="10">
        <v>6000</v>
      </c>
      <c r="L14" s="37"/>
    </row>
    <row r="15" spans="2:13" x14ac:dyDescent="0.25">
      <c r="B15" s="2" t="s">
        <v>5</v>
      </c>
      <c r="C15" s="10">
        <v>2400</v>
      </c>
      <c r="L15" s="37"/>
    </row>
    <row r="16" spans="2:13" x14ac:dyDescent="0.25">
      <c r="B16" t="s">
        <v>54</v>
      </c>
      <c r="C16" s="10">
        <v>480</v>
      </c>
      <c r="L16" s="37"/>
    </row>
    <row r="17" spans="1:12" x14ac:dyDescent="0.25">
      <c r="L17" s="37"/>
    </row>
    <row r="18" spans="1:12" x14ac:dyDescent="0.25">
      <c r="B18" t="s">
        <v>41</v>
      </c>
      <c r="C18" s="6">
        <f>C12/C15</f>
        <v>6.458333333333333</v>
      </c>
      <c r="L18" s="37"/>
    </row>
    <row r="19" spans="1:12" x14ac:dyDescent="0.25">
      <c r="B19" s="2"/>
      <c r="C19" s="5"/>
      <c r="L19" s="37"/>
    </row>
    <row r="20" spans="1:12" x14ac:dyDescent="0.25">
      <c r="B20" s="3" t="s">
        <v>0</v>
      </c>
      <c r="C20" s="34"/>
      <c r="D20" s="34"/>
      <c r="E20" s="34"/>
      <c r="F20" s="34"/>
      <c r="G20" s="34"/>
      <c r="H20" s="34"/>
      <c r="I20" s="34"/>
      <c r="J20" s="34"/>
    </row>
    <row r="21" spans="1:12" x14ac:dyDescent="0.25">
      <c r="B21" t="s">
        <v>13</v>
      </c>
      <c r="C21" s="8">
        <v>2016</v>
      </c>
      <c r="L21" t="s">
        <v>47</v>
      </c>
    </row>
    <row r="23" spans="1:12" x14ac:dyDescent="0.25">
      <c r="B23" t="s">
        <v>25</v>
      </c>
      <c r="C23" s="11">
        <v>6</v>
      </c>
      <c r="L23" t="s">
        <v>30</v>
      </c>
    </row>
    <row r="24" spans="1:12" x14ac:dyDescent="0.25">
      <c r="B24" t="s">
        <v>35</v>
      </c>
      <c r="C24" s="16">
        <v>50</v>
      </c>
      <c r="L24" t="s">
        <v>36</v>
      </c>
    </row>
    <row r="26" spans="1:12" x14ac:dyDescent="0.25">
      <c r="B26" s="2" t="s">
        <v>7</v>
      </c>
      <c r="C26" s="6">
        <f>C18</f>
        <v>6.458333333333333</v>
      </c>
      <c r="L26" t="s">
        <v>27</v>
      </c>
    </row>
    <row r="27" spans="1:12" x14ac:dyDescent="0.25">
      <c r="B27" t="s">
        <v>28</v>
      </c>
      <c r="C27" s="20">
        <v>0.25</v>
      </c>
      <c r="L27" t="s">
        <v>29</v>
      </c>
    </row>
    <row r="28" spans="1:12" x14ac:dyDescent="0.25">
      <c r="B28" s="2"/>
      <c r="C28" s="12"/>
    </row>
    <row r="29" spans="1:12" x14ac:dyDescent="0.25">
      <c r="B29" s="3" t="s">
        <v>18</v>
      </c>
      <c r="C29" s="21"/>
      <c r="D29" s="3"/>
      <c r="E29" s="3"/>
      <c r="F29" s="3"/>
      <c r="G29" s="21"/>
      <c r="H29" s="21"/>
      <c r="I29" s="21"/>
      <c r="J29" s="21"/>
    </row>
    <row r="30" spans="1:12" ht="14.4" x14ac:dyDescent="0.3">
      <c r="B30" s="23"/>
      <c r="C30" s="49"/>
      <c r="D30" s="24" t="s">
        <v>17</v>
      </c>
      <c r="E30" s="24"/>
      <c r="F30" s="24"/>
      <c r="G30" s="31"/>
      <c r="H30" s="32"/>
      <c r="I30" s="32"/>
      <c r="J30" s="32"/>
    </row>
    <row r="31" spans="1:12" x14ac:dyDescent="0.25">
      <c r="A31" s="39"/>
      <c r="B31" s="2"/>
      <c r="C31" s="29">
        <f>C4</f>
        <v>2012</v>
      </c>
      <c r="D31" s="25">
        <f>C31+1</f>
        <v>2013</v>
      </c>
      <c r="E31" s="25">
        <f t="shared" ref="E31:J31" si="0">D31+1</f>
        <v>2014</v>
      </c>
      <c r="F31" s="25">
        <f t="shared" si="0"/>
        <v>2015</v>
      </c>
      <c r="G31" s="30">
        <f t="shared" si="0"/>
        <v>2016</v>
      </c>
      <c r="H31" s="30">
        <f t="shared" si="0"/>
        <v>2017</v>
      </c>
      <c r="I31" s="30">
        <f t="shared" si="0"/>
        <v>2018</v>
      </c>
      <c r="J31" s="30">
        <f t="shared" si="0"/>
        <v>2019</v>
      </c>
      <c r="L31" s="28"/>
    </row>
    <row r="32" spans="1:12" x14ac:dyDescent="0.25">
      <c r="A32" s="38"/>
      <c r="B32" t="s">
        <v>14</v>
      </c>
      <c r="C32" s="36">
        <f>C14</f>
        <v>6000</v>
      </c>
      <c r="D32" s="26">
        <f>C32*(1+D33)</f>
        <v>6600.0000000000009</v>
      </c>
      <c r="E32" s="26">
        <f t="shared" ref="E32:J32" si="1">D32*(1+E33)</f>
        <v>7260.0000000000018</v>
      </c>
      <c r="F32" s="26">
        <f t="shared" si="1"/>
        <v>7986.0000000000027</v>
      </c>
      <c r="G32" s="26">
        <f t="shared" si="1"/>
        <v>8784.600000000004</v>
      </c>
      <c r="H32" s="26">
        <f t="shared" si="1"/>
        <v>9663.0600000000049</v>
      </c>
      <c r="I32" s="26">
        <f t="shared" si="1"/>
        <v>10629.366000000005</v>
      </c>
      <c r="J32" s="26">
        <f t="shared" si="1"/>
        <v>11692.302600000006</v>
      </c>
    </row>
    <row r="33" spans="1:12" x14ac:dyDescent="0.25">
      <c r="A33" s="38"/>
      <c r="B33" s="17" t="s">
        <v>15</v>
      </c>
      <c r="C33" s="13"/>
      <c r="D33" s="20">
        <v>0.1</v>
      </c>
      <c r="E33" s="20">
        <v>0.1</v>
      </c>
      <c r="F33" s="20">
        <v>0.1</v>
      </c>
      <c r="G33" s="20">
        <v>0.1</v>
      </c>
      <c r="H33" s="20">
        <v>0.1</v>
      </c>
      <c r="I33" s="20">
        <v>0.1</v>
      </c>
      <c r="J33" s="20">
        <v>0.1</v>
      </c>
    </row>
    <row r="34" spans="1:12" x14ac:dyDescent="0.25">
      <c r="A34" s="38"/>
      <c r="C34" s="13"/>
      <c r="D34" s="15"/>
      <c r="E34" s="15"/>
      <c r="F34" s="15"/>
      <c r="G34" s="15"/>
      <c r="H34" s="15"/>
      <c r="I34" s="15"/>
      <c r="J34" s="15"/>
    </row>
    <row r="35" spans="1:12" x14ac:dyDescent="0.25">
      <c r="A35" s="38"/>
      <c r="B35" t="s">
        <v>6</v>
      </c>
      <c r="C35" s="36">
        <f>C15</f>
        <v>2400</v>
      </c>
      <c r="D35" s="27">
        <f>D32*D36</f>
        <v>2640.0000000000005</v>
      </c>
      <c r="E35" s="27">
        <f t="shared" ref="E35:J35" si="2">E32*E36</f>
        <v>2904.0000000000009</v>
      </c>
      <c r="F35" s="27">
        <f t="shared" si="2"/>
        <v>3194.4000000000015</v>
      </c>
      <c r="G35" s="27">
        <f t="shared" si="2"/>
        <v>3513.840000000002</v>
      </c>
      <c r="H35" s="27">
        <f t="shared" si="2"/>
        <v>3865.224000000002</v>
      </c>
      <c r="I35" s="27">
        <f t="shared" si="2"/>
        <v>4251.7464000000027</v>
      </c>
      <c r="J35" s="27">
        <f t="shared" si="2"/>
        <v>4676.9210400000029</v>
      </c>
      <c r="L35" t="s">
        <v>39</v>
      </c>
    </row>
    <row r="36" spans="1:12" x14ac:dyDescent="0.25">
      <c r="A36" s="38"/>
      <c r="B36" s="17" t="s">
        <v>16</v>
      </c>
      <c r="C36" s="19">
        <f>C35/C$32</f>
        <v>0.4</v>
      </c>
      <c r="D36" s="20">
        <v>0.4</v>
      </c>
      <c r="E36" s="20">
        <v>0.4</v>
      </c>
      <c r="F36" s="20">
        <v>0.4</v>
      </c>
      <c r="G36" s="20">
        <v>0.4</v>
      </c>
      <c r="H36" s="20">
        <v>0.4</v>
      </c>
      <c r="I36" s="20">
        <v>0.4</v>
      </c>
      <c r="J36" s="20">
        <v>0.4</v>
      </c>
    </row>
    <row r="37" spans="1:12" x14ac:dyDescent="0.25">
      <c r="A37" s="38"/>
      <c r="B37" s="2"/>
      <c r="C37" s="19"/>
      <c r="D37" s="14"/>
      <c r="E37" s="14"/>
      <c r="F37" s="14"/>
      <c r="G37" s="14"/>
      <c r="H37" s="14"/>
      <c r="I37" s="14"/>
      <c r="J37" s="14"/>
    </row>
    <row r="38" spans="1:12" x14ac:dyDescent="0.25">
      <c r="A38" s="38"/>
      <c r="B38" t="s">
        <v>34</v>
      </c>
      <c r="C38" s="36">
        <f>C16</f>
        <v>480</v>
      </c>
      <c r="D38" s="36">
        <f>D32*D39</f>
        <v>528.00000000000011</v>
      </c>
      <c r="E38" s="36">
        <f t="shared" ref="E38:J38" si="3">E32*E39</f>
        <v>580.80000000000018</v>
      </c>
      <c r="F38" s="36">
        <f t="shared" si="3"/>
        <v>638.88000000000022</v>
      </c>
      <c r="G38" s="36">
        <f t="shared" si="3"/>
        <v>702.76800000000037</v>
      </c>
      <c r="H38" s="36">
        <f t="shared" si="3"/>
        <v>773.04480000000046</v>
      </c>
      <c r="I38" s="36">
        <f t="shared" si="3"/>
        <v>850.34928000000048</v>
      </c>
      <c r="J38" s="36">
        <f t="shared" si="3"/>
        <v>935.38420800000051</v>
      </c>
      <c r="L38" t="s">
        <v>39</v>
      </c>
    </row>
    <row r="39" spans="1:12" x14ac:dyDescent="0.25">
      <c r="A39" s="38"/>
      <c r="B39" s="17" t="s">
        <v>31</v>
      </c>
      <c r="C39" s="19">
        <f>C38/C$32</f>
        <v>0.08</v>
      </c>
      <c r="D39" s="20">
        <v>0.08</v>
      </c>
      <c r="E39" s="20">
        <v>0.08</v>
      </c>
      <c r="F39" s="20">
        <v>0.08</v>
      </c>
      <c r="G39" s="20">
        <v>0.08</v>
      </c>
      <c r="H39" s="20">
        <v>0.08</v>
      </c>
      <c r="I39" s="20">
        <v>0.08</v>
      </c>
      <c r="J39" s="20">
        <v>0.08</v>
      </c>
    </row>
    <row r="40" spans="1:12" x14ac:dyDescent="0.25">
      <c r="A40" s="38"/>
      <c r="B40" s="2"/>
      <c r="C40" s="19"/>
      <c r="D40" s="14"/>
      <c r="E40" s="14"/>
      <c r="F40" s="14"/>
      <c r="G40" s="14"/>
      <c r="H40" s="14"/>
      <c r="I40" s="14"/>
      <c r="J40" s="14"/>
    </row>
    <row r="41" spans="1:12" x14ac:dyDescent="0.25">
      <c r="A41" s="38"/>
      <c r="B41" t="s">
        <v>19</v>
      </c>
      <c r="C41" s="36">
        <f>C10</f>
        <v>100</v>
      </c>
      <c r="D41" s="27">
        <f>C41+(D38+D50)</f>
        <v>50</v>
      </c>
      <c r="E41" s="27">
        <f>D41+(E38+E50)</f>
        <v>50</v>
      </c>
      <c r="F41" s="27">
        <f t="shared" ref="F41:J41" si="4">E41+(F38+F50)</f>
        <v>50</v>
      </c>
      <c r="G41" s="27">
        <f t="shared" si="4"/>
        <v>50</v>
      </c>
      <c r="H41" s="27">
        <f t="shared" si="4"/>
        <v>50</v>
      </c>
      <c r="I41" s="27">
        <f t="shared" si="4"/>
        <v>50</v>
      </c>
      <c r="J41" s="27">
        <f t="shared" si="4"/>
        <v>50</v>
      </c>
      <c r="L41" t="s">
        <v>46</v>
      </c>
    </row>
    <row r="42" spans="1:12" x14ac:dyDescent="0.25">
      <c r="A42" s="38"/>
      <c r="B42" s="46" t="s">
        <v>20</v>
      </c>
      <c r="C42" s="48">
        <f>C9</f>
        <v>600</v>
      </c>
      <c r="D42" s="47">
        <f>D51</f>
        <v>12822</v>
      </c>
      <c r="E42" s="47">
        <f t="shared" ref="E42:J42" si="5">E51</f>
        <v>11241.2</v>
      </c>
      <c r="F42" s="47">
        <f t="shared" si="5"/>
        <v>9602.32</v>
      </c>
      <c r="G42" s="47">
        <f t="shared" si="5"/>
        <v>7899.5519999999997</v>
      </c>
      <c r="H42" s="47">
        <f t="shared" si="5"/>
        <v>6126.5071999999991</v>
      </c>
      <c r="I42" s="47">
        <f t="shared" si="5"/>
        <v>4276.1579199999987</v>
      </c>
      <c r="J42" s="47">
        <f t="shared" si="5"/>
        <v>2340.7737119999983</v>
      </c>
      <c r="L42" t="s">
        <v>24</v>
      </c>
    </row>
    <row r="43" spans="1:12" x14ac:dyDescent="0.25">
      <c r="A43" s="38"/>
      <c r="B43" t="s">
        <v>3</v>
      </c>
      <c r="C43" s="45">
        <f>C42-C41</f>
        <v>500</v>
      </c>
      <c r="D43" s="45">
        <f t="shared" ref="D43:J43" si="6">D42-D41</f>
        <v>12772</v>
      </c>
      <c r="E43" s="45">
        <f t="shared" si="6"/>
        <v>11191.2</v>
      </c>
      <c r="F43" s="45">
        <f t="shared" si="6"/>
        <v>9552.32</v>
      </c>
      <c r="G43" s="45">
        <f t="shared" si="6"/>
        <v>7849.5519999999997</v>
      </c>
      <c r="H43" s="45">
        <f t="shared" si="6"/>
        <v>6076.5071999999991</v>
      </c>
      <c r="I43" s="45">
        <f t="shared" si="6"/>
        <v>4226.1579199999987</v>
      </c>
      <c r="J43" s="45">
        <f t="shared" si="6"/>
        <v>2290.7737119999983</v>
      </c>
      <c r="L43" t="s">
        <v>40</v>
      </c>
    </row>
    <row r="44" spans="1:12" x14ac:dyDescent="0.25">
      <c r="B44" s="2"/>
      <c r="C44" s="12"/>
    </row>
    <row r="45" spans="1:12" x14ac:dyDescent="0.25">
      <c r="B45" s="3" t="s">
        <v>22</v>
      </c>
      <c r="C45" s="21"/>
      <c r="D45" s="3"/>
      <c r="E45" s="3"/>
      <c r="F45" s="3"/>
      <c r="G45" s="21"/>
      <c r="H45" s="21"/>
      <c r="I45" s="21"/>
      <c r="J45" s="21"/>
    </row>
    <row r="46" spans="1:12" ht="14.4" x14ac:dyDescent="0.3">
      <c r="B46" s="23"/>
      <c r="C46" s="49"/>
      <c r="D46" s="22" t="s">
        <v>17</v>
      </c>
      <c r="E46" s="22"/>
      <c r="F46" s="22"/>
      <c r="G46" s="31"/>
      <c r="H46" s="32"/>
      <c r="I46" s="32"/>
      <c r="J46" s="32"/>
    </row>
    <row r="47" spans="1:12" x14ac:dyDescent="0.25">
      <c r="B47" s="2"/>
      <c r="C47" s="29"/>
      <c r="D47" s="33">
        <f t="shared" ref="D47:J47" si="7">D31</f>
        <v>2013</v>
      </c>
      <c r="E47" s="33">
        <f t="shared" si="7"/>
        <v>2014</v>
      </c>
      <c r="F47" s="33">
        <f t="shared" si="7"/>
        <v>2015</v>
      </c>
      <c r="G47" s="33">
        <f t="shared" si="7"/>
        <v>2016</v>
      </c>
      <c r="H47" s="33">
        <f t="shared" si="7"/>
        <v>2017</v>
      </c>
      <c r="I47" s="33">
        <f t="shared" si="7"/>
        <v>2018</v>
      </c>
      <c r="J47" s="33">
        <f t="shared" si="7"/>
        <v>2019</v>
      </c>
    </row>
    <row r="48" spans="1:12" x14ac:dyDescent="0.25">
      <c r="B48" t="s">
        <v>23</v>
      </c>
      <c r="C48" s="12"/>
      <c r="D48" s="35">
        <f>C23*C15</f>
        <v>14400</v>
      </c>
      <c r="E48" s="5">
        <f>D51</f>
        <v>12822</v>
      </c>
      <c r="F48" s="5">
        <f t="shared" ref="F48:J48" si="8">E51</f>
        <v>11241.2</v>
      </c>
      <c r="G48" s="5">
        <f t="shared" si="8"/>
        <v>9602.32</v>
      </c>
      <c r="H48" s="5">
        <f t="shared" si="8"/>
        <v>7899.5519999999997</v>
      </c>
      <c r="I48" s="5">
        <f t="shared" si="8"/>
        <v>6126.5071999999991</v>
      </c>
      <c r="J48" s="5">
        <f t="shared" si="8"/>
        <v>4276.1579199999987</v>
      </c>
      <c r="L48" t="s">
        <v>48</v>
      </c>
    </row>
    <row r="49" spans="2:12" x14ac:dyDescent="0.25">
      <c r="B49" s="37" t="s">
        <v>33</v>
      </c>
      <c r="C49" s="12"/>
      <c r="D49" s="16">
        <v>-1000</v>
      </c>
      <c r="E49" s="16">
        <v>-1000</v>
      </c>
      <c r="F49" s="16">
        <v>-1000</v>
      </c>
      <c r="G49" s="16">
        <v>-1000</v>
      </c>
      <c r="H49" s="16">
        <v>-1000</v>
      </c>
      <c r="I49" s="16">
        <v>-1000</v>
      </c>
      <c r="J49" s="16">
        <v>-1000</v>
      </c>
      <c r="L49" t="s">
        <v>56</v>
      </c>
    </row>
    <row r="50" spans="2:12" x14ac:dyDescent="0.25">
      <c r="B50" s="42" t="s">
        <v>37</v>
      </c>
      <c r="C50" s="43"/>
      <c r="D50" s="44">
        <f>(C41+D38-$C$24)*-1</f>
        <v>-578.00000000000011</v>
      </c>
      <c r="E50" s="44">
        <f t="shared" ref="E50:J50" si="9">(D41+E38-$C$24)*-1</f>
        <v>-580.80000000000018</v>
      </c>
      <c r="F50" s="44">
        <f t="shared" si="9"/>
        <v>-638.88000000000022</v>
      </c>
      <c r="G50" s="44">
        <f t="shared" si="9"/>
        <v>-702.76800000000037</v>
      </c>
      <c r="H50" s="44">
        <f t="shared" si="9"/>
        <v>-773.04480000000046</v>
      </c>
      <c r="I50" s="44">
        <f t="shared" si="9"/>
        <v>-850.34928000000048</v>
      </c>
      <c r="J50" s="44">
        <f t="shared" si="9"/>
        <v>-935.38420800000051</v>
      </c>
      <c r="L50" t="s">
        <v>38</v>
      </c>
    </row>
    <row r="51" spans="2:12" x14ac:dyDescent="0.25">
      <c r="B51" t="s">
        <v>32</v>
      </c>
      <c r="C51" s="12"/>
      <c r="D51" s="5">
        <f>SUM(D48:D50)</f>
        <v>12822</v>
      </c>
      <c r="E51" s="5">
        <f t="shared" ref="E51:J51" si="10">SUM(E48:E50)</f>
        <v>11241.2</v>
      </c>
      <c r="F51" s="5">
        <f t="shared" si="10"/>
        <v>9602.32</v>
      </c>
      <c r="G51" s="5">
        <f t="shared" si="10"/>
        <v>7899.5519999999997</v>
      </c>
      <c r="H51" s="5">
        <f t="shared" si="10"/>
        <v>6126.5071999999991</v>
      </c>
      <c r="I51" s="5">
        <f t="shared" si="10"/>
        <v>4276.1579199999987</v>
      </c>
      <c r="J51" s="5">
        <f t="shared" si="10"/>
        <v>2340.7737119999983</v>
      </c>
    </row>
    <row r="52" spans="2:12" x14ac:dyDescent="0.25">
      <c r="B52" s="2"/>
      <c r="C52" s="12"/>
    </row>
    <row r="53" spans="2:12" x14ac:dyDescent="0.25">
      <c r="B53" s="4" t="s">
        <v>8</v>
      </c>
      <c r="C53" s="12"/>
    </row>
    <row r="54" spans="2:12" x14ac:dyDescent="0.25">
      <c r="B54" s="7" t="s">
        <v>9</v>
      </c>
      <c r="C54" s="12"/>
      <c r="J54" s="50">
        <f>HLOOKUP($C$21,$C$31:$J$43,5,FALSE)*C26</f>
        <v>22693.55000000001</v>
      </c>
      <c r="L54" s="40"/>
    </row>
    <row r="55" spans="2:12" x14ac:dyDescent="0.25">
      <c r="B55" s="7" t="s">
        <v>10</v>
      </c>
      <c r="C55" s="12"/>
      <c r="J55" s="50">
        <f>J54-HLOOKUP($C$21,$C$31:$J$43,13,FALSE)</f>
        <v>14843.998000000011</v>
      </c>
      <c r="L55" s="40"/>
    </row>
    <row r="56" spans="2:12" x14ac:dyDescent="0.25">
      <c r="B56" s="41" t="s">
        <v>43</v>
      </c>
      <c r="C56" s="12"/>
      <c r="J56" s="50">
        <f>J55/(1+C27)^(C21-C4)</f>
        <v>6080.1015808000047</v>
      </c>
    </row>
    <row r="57" spans="2:12" x14ac:dyDescent="0.25">
      <c r="B57" s="2"/>
      <c r="C57" s="12"/>
    </row>
    <row r="58" spans="2:12" x14ac:dyDescent="0.25">
      <c r="B58" s="4" t="s">
        <v>8</v>
      </c>
      <c r="C58" s="12"/>
    </row>
    <row r="59" spans="2:12" x14ac:dyDescent="0.25">
      <c r="B59" s="41" t="s">
        <v>44</v>
      </c>
      <c r="J59" s="51">
        <f>J56+D48</f>
        <v>20480.101580800005</v>
      </c>
    </row>
    <row r="60" spans="2:12" x14ac:dyDescent="0.25">
      <c r="B60" s="41" t="s">
        <v>55</v>
      </c>
      <c r="J60" s="52">
        <f>(J59-C43)/C7</f>
        <v>39.960203161600006</v>
      </c>
    </row>
    <row r="61" spans="2:12" ht="26.4" x14ac:dyDescent="0.25">
      <c r="B61" s="41" t="s">
        <v>45</v>
      </c>
      <c r="J61" s="53" t="s">
        <v>49</v>
      </c>
    </row>
  </sheetData>
  <sheetProtection selectLockedCells="1" selectUnlockedCells="1"/>
  <pageMargins left="0.7" right="0.7" top="0.75" bottom="0.75" header="0.3" footer="0.3"/>
  <pageSetup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LBO</vt:lpstr>
      <vt:lpstr>LBO 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wsp</dc:creator>
  <cp:lastModifiedBy>Himanshu Rajpurohit</cp:lastModifiedBy>
  <dcterms:created xsi:type="dcterms:W3CDTF">2013-02-26T17:52:39Z</dcterms:created>
  <dcterms:modified xsi:type="dcterms:W3CDTF">2026-03-11T19:58:14Z</dcterms:modified>
</cp:coreProperties>
</file>